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od Kumar\OneDrive\Desktop\"/>
    </mc:Choice>
  </mc:AlternateContent>
  <xr:revisionPtr revIDLastSave="0" documentId="13_ncr:1_{8AE96884-206B-4237-B3CC-586AFB1A95AB}" xr6:coauthVersionLast="47" xr6:coauthVersionMax="47" xr10:uidLastSave="{00000000-0000-0000-0000-000000000000}"/>
  <bookViews>
    <workbookView xWindow="-110" yWindow="-110" windowWidth="19420" windowHeight="10300" activeTab="1" xr2:uid="{8E562A7E-6270-450E-97ED-6ED85AE9A4D6}"/>
  </bookViews>
  <sheets>
    <sheet name="Budget_Data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6" i="2" s="1"/>
  <c r="B16" i="2"/>
  <c r="B15" i="2"/>
  <c r="B14" i="2"/>
  <c r="B13" i="2"/>
  <c r="B12" i="2"/>
  <c r="B11" i="2"/>
  <c r="B10" i="2"/>
  <c r="B5" i="2"/>
</calcChain>
</file>

<file path=xl/sharedStrings.xml><?xml version="1.0" encoding="utf-8"?>
<sst xmlns="http://schemas.openxmlformats.org/spreadsheetml/2006/main" count="132" uniqueCount="46">
  <si>
    <t>Date</t>
  </si>
  <si>
    <t>Descrption</t>
  </si>
  <si>
    <t>Category</t>
  </si>
  <si>
    <t>Type</t>
  </si>
  <si>
    <t>Amount</t>
  </si>
  <si>
    <t>Salary</t>
  </si>
  <si>
    <t>Rent</t>
  </si>
  <si>
    <t>Groceries</t>
  </si>
  <si>
    <t>Bus</t>
  </si>
  <si>
    <t>Electricity Bill</t>
  </si>
  <si>
    <t>Movie</t>
  </si>
  <si>
    <t>Shopping</t>
  </si>
  <si>
    <t>Mobile recharge</t>
  </si>
  <si>
    <t>Petrol</t>
  </si>
  <si>
    <t>TV recharge</t>
  </si>
  <si>
    <t>Snacks</t>
  </si>
  <si>
    <t>Gift</t>
  </si>
  <si>
    <t>Medicine</t>
  </si>
  <si>
    <t>Outing</t>
  </si>
  <si>
    <t>Gym Fee</t>
  </si>
  <si>
    <t>Saloon</t>
  </si>
  <si>
    <t>Water Bill</t>
  </si>
  <si>
    <t>Freelance</t>
  </si>
  <si>
    <t>Income</t>
  </si>
  <si>
    <t>Housing</t>
  </si>
  <si>
    <t>Food</t>
  </si>
  <si>
    <t>Travel</t>
  </si>
  <si>
    <t>Bills</t>
  </si>
  <si>
    <t>Entertainment</t>
  </si>
  <si>
    <t>Health</t>
  </si>
  <si>
    <t>Expense</t>
  </si>
  <si>
    <t>Hair cut</t>
  </si>
  <si>
    <t>Internet Subscrption</t>
  </si>
  <si>
    <t>Uber</t>
  </si>
  <si>
    <t>OTT</t>
  </si>
  <si>
    <t>Grocery Refill</t>
  </si>
  <si>
    <t>Electricity Repair</t>
  </si>
  <si>
    <t>Movie Night</t>
  </si>
  <si>
    <t>Yoga Class</t>
  </si>
  <si>
    <t>Trip</t>
  </si>
  <si>
    <t>Dinner</t>
  </si>
  <si>
    <t>Water Bills</t>
  </si>
  <si>
    <t>Total Income</t>
  </si>
  <si>
    <t>Total Expense</t>
  </si>
  <si>
    <t>Savings</t>
  </si>
  <si>
    <t>SUMMARY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</si>
</sst>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44" fontId="1" fillId="0" borderId="1" xfId="0" applyNumberFormat="1" applyFont="1" applyBorder="1"/>
    <xf numFmtId="44" fontId="0" fillId="0" borderId="1" xfId="0" applyNumberFormat="1" applyBorder="1"/>
    <xf numFmtId="4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C00000"/>
                </a:solidFill>
              </a:rPr>
              <a:t>Monthly Expense Distribution</a:t>
            </a:r>
          </a:p>
        </c:rich>
      </c:tx>
      <c:layout>
        <c:manualLayout>
          <c:xMode val="edge"/>
          <c:yMode val="edge"/>
          <c:x val="0.27387489063867015"/>
          <c:y val="1.58490570747008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Summary!$B$9</c:f>
              <c:strCache>
                <c:ptCount val="1"/>
                <c:pt idx="0">
                  <c:v>Expense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8F-44E3-97FC-FEAF148A18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Summary!$A$10:$A$16</c:f>
              <c:strCache>
                <c:ptCount val="7"/>
                <c:pt idx="0">
                  <c:v>Food</c:v>
                </c:pt>
                <c:pt idx="1">
                  <c:v>Travel</c:v>
                </c:pt>
                <c:pt idx="2">
                  <c:v>Housing</c:v>
                </c:pt>
                <c:pt idx="3">
                  <c:v>Health</c:v>
                </c:pt>
                <c:pt idx="4">
                  <c:v>Bills</c:v>
                </c:pt>
                <c:pt idx="5">
                  <c:v>Shopping</c:v>
                </c:pt>
                <c:pt idx="6">
                  <c:v>Entertainment</c:v>
                </c:pt>
              </c:strCache>
            </c:strRef>
          </c:cat>
          <c:val>
            <c:numRef>
              <c:f>Summary!$B$10:$B$16</c:f>
              <c:numCache>
                <c:formatCode>_("₹"* #,##0.00_);_("₹"* \(#,##0.00\);_("₹"* "-"??_);_(@_)</c:formatCode>
                <c:ptCount val="7"/>
                <c:pt idx="0">
                  <c:v>6000</c:v>
                </c:pt>
                <c:pt idx="1">
                  <c:v>2500</c:v>
                </c:pt>
                <c:pt idx="2">
                  <c:v>16000</c:v>
                </c:pt>
                <c:pt idx="3">
                  <c:v>5500</c:v>
                </c:pt>
                <c:pt idx="4">
                  <c:v>5230</c:v>
                </c:pt>
                <c:pt idx="5">
                  <c:v>2700</c:v>
                </c:pt>
                <c:pt idx="6">
                  <c:v>6650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F-44E3-97FC-FEAF148A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142039</xdr:colOff>
      <xdr:row>2</xdr:row>
      <xdr:rowOff>178245</xdr:rowOff>
    </xdr:from>
    <xdr:to>
      <xdr:col>9</xdr:col>
      <xdr:colOff>8356</xdr:colOff>
      <xdr:row>22</xdr:row>
      <xdr:rowOff>125328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CB455B-E44D-BB3E-A4F1-DD8E8D7E2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BB7CE-E106-481E-B94E-EA6D3E7BFD8C}">
  <dimension ref="A2:E40"/>
  <sheetViews>
    <sheetView workbookViewId="0">
      <selection activeCell="F3" sqref="F3"/>
    </sheetView>
  </sheetViews>
  <sheetFormatPr defaultRowHeight="14.5" x14ac:dyDescent="0.35"/>
  <cols>
    <col min="1" max="1" width="10.08984375" bestFit="1" customWidth="1"/>
    <col min="2" max="2" width="18" bestFit="1" customWidth="1"/>
    <col min="3" max="3" width="12.90625" bestFit="1" customWidth="1"/>
    <col min="4" max="4" width="7.7265625" style="11" bestFit="1" customWidth="1"/>
    <col min="5" max="5" width="11.1796875" style="7" bestFit="1" customWidth="1"/>
    <col min="6" max="6" width="15.26953125" bestFit="1" customWidth="1"/>
  </cols>
  <sheetData>
    <row r="2" spans="1:5" s="1" customFormat="1" x14ac:dyDescent="0.35">
      <c r="A2" s="2" t="s">
        <v>0</v>
      </c>
      <c r="B2" s="2" t="s">
        <v>1</v>
      </c>
      <c r="C2" s="2" t="s">
        <v>2</v>
      </c>
      <c r="D2" s="13" t="s">
        <v>3</v>
      </c>
      <c r="E2" s="5" t="s">
        <v>4</v>
      </c>
    </row>
    <row r="3" spans="1:5" x14ac:dyDescent="0.35">
      <c r="A3" s="3">
        <v>45323</v>
      </c>
      <c r="B3" s="4" t="s">
        <v>5</v>
      </c>
      <c r="C3" s="4" t="s">
        <v>23</v>
      </c>
      <c r="D3" s="14" t="s">
        <v>23</v>
      </c>
      <c r="E3" s="6">
        <v>30000</v>
      </c>
    </row>
    <row r="4" spans="1:5" x14ac:dyDescent="0.35">
      <c r="A4" s="3">
        <v>45324</v>
      </c>
      <c r="B4" s="4" t="s">
        <v>6</v>
      </c>
      <c r="C4" s="4" t="s">
        <v>24</v>
      </c>
      <c r="D4" s="14" t="s">
        <v>30</v>
      </c>
      <c r="E4" s="6">
        <v>8000</v>
      </c>
    </row>
    <row r="5" spans="1:5" x14ac:dyDescent="0.35">
      <c r="A5" s="3">
        <v>45325</v>
      </c>
      <c r="B5" s="4" t="s">
        <v>7</v>
      </c>
      <c r="C5" s="4" t="s">
        <v>25</v>
      </c>
      <c r="D5" s="14" t="s">
        <v>30</v>
      </c>
      <c r="E5" s="6">
        <v>2000</v>
      </c>
    </row>
    <row r="6" spans="1:5" x14ac:dyDescent="0.35">
      <c r="A6" s="3">
        <v>45326</v>
      </c>
      <c r="B6" s="4" t="s">
        <v>8</v>
      </c>
      <c r="C6" s="4" t="s">
        <v>26</v>
      </c>
      <c r="D6" s="14" t="s">
        <v>30</v>
      </c>
      <c r="E6" s="6">
        <v>600</v>
      </c>
    </row>
    <row r="7" spans="1:5" x14ac:dyDescent="0.35">
      <c r="A7" s="3">
        <v>45327</v>
      </c>
      <c r="B7" s="4" t="s">
        <v>9</v>
      </c>
      <c r="C7" s="4" t="s">
        <v>27</v>
      </c>
      <c r="D7" s="14" t="s">
        <v>30</v>
      </c>
      <c r="E7" s="6">
        <v>1000</v>
      </c>
    </row>
    <row r="8" spans="1:5" x14ac:dyDescent="0.35">
      <c r="A8" s="3">
        <v>45328</v>
      </c>
      <c r="B8" s="4" t="s">
        <v>10</v>
      </c>
      <c r="C8" s="4" t="s">
        <v>28</v>
      </c>
      <c r="D8" s="14" t="s">
        <v>30</v>
      </c>
      <c r="E8" s="6">
        <v>300</v>
      </c>
    </row>
    <row r="9" spans="1:5" x14ac:dyDescent="0.35">
      <c r="A9" s="3">
        <v>45329</v>
      </c>
      <c r="B9" s="4" t="s">
        <v>11</v>
      </c>
      <c r="C9" s="4" t="s">
        <v>11</v>
      </c>
      <c r="D9" s="14" t="s">
        <v>30</v>
      </c>
      <c r="E9" s="6">
        <v>2000</v>
      </c>
    </row>
    <row r="10" spans="1:5" x14ac:dyDescent="0.35">
      <c r="A10" s="3">
        <v>45330</v>
      </c>
      <c r="B10" s="4" t="s">
        <v>12</v>
      </c>
      <c r="C10" s="4" t="s">
        <v>27</v>
      </c>
      <c r="D10" s="14" t="s">
        <v>30</v>
      </c>
      <c r="E10" s="6">
        <v>400</v>
      </c>
    </row>
    <row r="11" spans="1:5" x14ac:dyDescent="0.35">
      <c r="A11" s="3">
        <v>45331</v>
      </c>
      <c r="B11" s="4" t="s">
        <v>13</v>
      </c>
      <c r="C11" s="4" t="s">
        <v>26</v>
      </c>
      <c r="D11" s="14" t="s">
        <v>30</v>
      </c>
      <c r="E11" s="6">
        <v>1000</v>
      </c>
    </row>
    <row r="12" spans="1:5" x14ac:dyDescent="0.35">
      <c r="A12" s="3">
        <v>45332</v>
      </c>
      <c r="B12" s="4" t="s">
        <v>14</v>
      </c>
      <c r="C12" s="4" t="s">
        <v>27</v>
      </c>
      <c r="D12" s="14" t="s">
        <v>30</v>
      </c>
      <c r="E12" s="6">
        <v>500</v>
      </c>
    </row>
    <row r="13" spans="1:5" x14ac:dyDescent="0.35">
      <c r="A13" s="3">
        <v>45333</v>
      </c>
      <c r="B13" s="4" t="s">
        <v>15</v>
      </c>
      <c r="C13" s="4" t="s">
        <v>25</v>
      </c>
      <c r="D13" s="14" t="s">
        <v>30</v>
      </c>
      <c r="E13" s="6">
        <v>500</v>
      </c>
    </row>
    <row r="14" spans="1:5" x14ac:dyDescent="0.35">
      <c r="A14" s="3">
        <v>45334</v>
      </c>
      <c r="B14" s="4" t="s">
        <v>17</v>
      </c>
      <c r="C14" s="4" t="s">
        <v>29</v>
      </c>
      <c r="D14" s="14" t="s">
        <v>30</v>
      </c>
      <c r="E14" s="6">
        <v>500</v>
      </c>
    </row>
    <row r="15" spans="1:5" x14ac:dyDescent="0.35">
      <c r="A15" s="3">
        <v>45335</v>
      </c>
      <c r="B15" s="4" t="s">
        <v>18</v>
      </c>
      <c r="C15" s="4" t="s">
        <v>28</v>
      </c>
      <c r="D15" s="14" t="s">
        <v>30</v>
      </c>
      <c r="E15" s="6">
        <v>1500</v>
      </c>
    </row>
    <row r="16" spans="1:5" x14ac:dyDescent="0.35">
      <c r="A16" s="3">
        <v>45336</v>
      </c>
      <c r="B16" s="4" t="s">
        <v>19</v>
      </c>
      <c r="C16" s="4" t="s">
        <v>29</v>
      </c>
      <c r="D16" s="14" t="s">
        <v>30</v>
      </c>
      <c r="E16" s="6">
        <v>1000</v>
      </c>
    </row>
    <row r="17" spans="1:5" x14ac:dyDescent="0.35">
      <c r="A17" s="3">
        <v>45337</v>
      </c>
      <c r="B17" s="4" t="s">
        <v>31</v>
      </c>
      <c r="C17" s="4" t="s">
        <v>29</v>
      </c>
      <c r="D17" s="14" t="s">
        <v>30</v>
      </c>
      <c r="E17" s="6">
        <v>1000</v>
      </c>
    </row>
    <row r="18" spans="1:5" x14ac:dyDescent="0.35">
      <c r="A18" s="3">
        <v>45338</v>
      </c>
      <c r="B18" s="4" t="s">
        <v>20</v>
      </c>
      <c r="C18" s="4" t="s">
        <v>29</v>
      </c>
      <c r="D18" s="14" t="s">
        <v>30</v>
      </c>
      <c r="E18" s="6">
        <v>900</v>
      </c>
    </row>
    <row r="19" spans="1:5" x14ac:dyDescent="0.35">
      <c r="A19" s="3">
        <v>45339</v>
      </c>
      <c r="B19" s="4" t="s">
        <v>32</v>
      </c>
      <c r="C19" s="4" t="s">
        <v>27</v>
      </c>
      <c r="D19" s="14" t="s">
        <v>30</v>
      </c>
      <c r="E19" s="6">
        <v>300</v>
      </c>
    </row>
    <row r="20" spans="1:5" x14ac:dyDescent="0.35">
      <c r="A20" s="3">
        <v>45340</v>
      </c>
      <c r="B20" s="4" t="s">
        <v>8</v>
      </c>
      <c r="C20" s="4" t="s">
        <v>27</v>
      </c>
      <c r="D20" s="14" t="s">
        <v>30</v>
      </c>
      <c r="E20" s="6">
        <v>980</v>
      </c>
    </row>
    <row r="21" spans="1:5" x14ac:dyDescent="0.35">
      <c r="A21" s="3">
        <v>45341</v>
      </c>
      <c r="B21" s="4" t="s">
        <v>41</v>
      </c>
      <c r="C21" s="4" t="s">
        <v>27</v>
      </c>
      <c r="D21" s="14" t="s">
        <v>30</v>
      </c>
      <c r="E21" s="6">
        <v>450</v>
      </c>
    </row>
    <row r="22" spans="1:5" x14ac:dyDescent="0.35">
      <c r="A22" s="3">
        <v>45342</v>
      </c>
      <c r="B22" s="4" t="s">
        <v>22</v>
      </c>
      <c r="C22" s="4" t="s">
        <v>23</v>
      </c>
      <c r="D22" s="14" t="s">
        <v>23</v>
      </c>
      <c r="E22" s="6">
        <v>5000</v>
      </c>
    </row>
    <row r="23" spans="1:5" x14ac:dyDescent="0.35">
      <c r="A23" s="3">
        <v>45343</v>
      </c>
      <c r="B23" s="4" t="s">
        <v>33</v>
      </c>
      <c r="C23" s="4" t="s">
        <v>26</v>
      </c>
      <c r="D23" s="14" t="s">
        <v>30</v>
      </c>
      <c r="E23" s="6">
        <v>500</v>
      </c>
    </row>
    <row r="24" spans="1:5" x14ac:dyDescent="0.35">
      <c r="A24" s="3">
        <v>45344</v>
      </c>
      <c r="B24" s="4" t="s">
        <v>16</v>
      </c>
      <c r="C24" s="4" t="s">
        <v>11</v>
      </c>
      <c r="D24" s="14" t="s">
        <v>30</v>
      </c>
      <c r="E24" s="6">
        <v>700</v>
      </c>
    </row>
    <row r="25" spans="1:5" x14ac:dyDescent="0.35">
      <c r="A25" s="3">
        <v>45345</v>
      </c>
      <c r="B25" s="4" t="s">
        <v>34</v>
      </c>
      <c r="C25" s="4" t="s">
        <v>28</v>
      </c>
      <c r="D25" s="14" t="s">
        <v>30</v>
      </c>
      <c r="E25" s="6">
        <v>500</v>
      </c>
    </row>
    <row r="26" spans="1:5" x14ac:dyDescent="0.35">
      <c r="A26" s="3">
        <v>45346</v>
      </c>
      <c r="B26" s="4" t="s">
        <v>35</v>
      </c>
      <c r="C26" s="4" t="s">
        <v>25</v>
      </c>
      <c r="D26" s="14" t="s">
        <v>30</v>
      </c>
      <c r="E26" s="6">
        <v>2000</v>
      </c>
    </row>
    <row r="27" spans="1:5" x14ac:dyDescent="0.35">
      <c r="A27" s="3">
        <v>45347</v>
      </c>
      <c r="B27" s="4" t="s">
        <v>36</v>
      </c>
      <c r="C27" s="4" t="s">
        <v>27</v>
      </c>
      <c r="D27" s="14" t="s">
        <v>30</v>
      </c>
      <c r="E27" s="6">
        <v>450</v>
      </c>
    </row>
    <row r="28" spans="1:5" x14ac:dyDescent="0.35">
      <c r="A28" s="3">
        <v>45348</v>
      </c>
      <c r="B28" s="4" t="s">
        <v>37</v>
      </c>
      <c r="C28" s="4" t="s">
        <v>28</v>
      </c>
      <c r="D28" s="14" t="s">
        <v>30</v>
      </c>
      <c r="E28" s="6">
        <v>350</v>
      </c>
    </row>
    <row r="29" spans="1:5" x14ac:dyDescent="0.35">
      <c r="A29" s="3">
        <v>45349</v>
      </c>
      <c r="B29" s="4" t="s">
        <v>38</v>
      </c>
      <c r="C29" s="4" t="s">
        <v>29</v>
      </c>
      <c r="D29" s="14" t="s">
        <v>30</v>
      </c>
      <c r="E29" s="6">
        <v>700</v>
      </c>
    </row>
    <row r="30" spans="1:5" x14ac:dyDescent="0.35">
      <c r="A30" s="3">
        <v>45350</v>
      </c>
      <c r="B30" s="4" t="s">
        <v>39</v>
      </c>
      <c r="C30" s="4" t="s">
        <v>28</v>
      </c>
      <c r="D30" s="14" t="s">
        <v>30</v>
      </c>
      <c r="E30" s="6">
        <v>4000</v>
      </c>
    </row>
    <row r="31" spans="1:5" x14ac:dyDescent="0.35">
      <c r="A31" s="3">
        <v>45351</v>
      </c>
      <c r="B31" s="4" t="s">
        <v>40</v>
      </c>
      <c r="C31" s="4" t="s">
        <v>25</v>
      </c>
      <c r="D31" s="14" t="s">
        <v>30</v>
      </c>
      <c r="E31" s="6">
        <v>1000</v>
      </c>
    </row>
    <row r="32" spans="1:5" x14ac:dyDescent="0.35">
      <c r="A32" s="3">
        <v>45352</v>
      </c>
      <c r="B32" s="4" t="s">
        <v>6</v>
      </c>
      <c r="C32" s="4" t="s">
        <v>24</v>
      </c>
      <c r="D32" s="14" t="s">
        <v>30</v>
      </c>
      <c r="E32" s="6">
        <v>8000</v>
      </c>
    </row>
    <row r="33" spans="1:5" x14ac:dyDescent="0.35">
      <c r="A33" s="3">
        <v>45353</v>
      </c>
      <c r="B33" s="4" t="s">
        <v>5</v>
      </c>
      <c r="C33" s="4" t="s">
        <v>23</v>
      </c>
      <c r="D33" s="14" t="s">
        <v>23</v>
      </c>
      <c r="E33" s="6">
        <v>30000</v>
      </c>
    </row>
    <row r="34" spans="1:5" x14ac:dyDescent="0.35">
      <c r="A34" s="3">
        <v>45354</v>
      </c>
      <c r="B34" s="4" t="s">
        <v>8</v>
      </c>
      <c r="C34" s="4" t="s">
        <v>26</v>
      </c>
      <c r="D34" s="14" t="s">
        <v>30</v>
      </c>
      <c r="E34" s="6">
        <v>400</v>
      </c>
    </row>
    <row r="35" spans="1:5" x14ac:dyDescent="0.35">
      <c r="A35" s="3">
        <v>45355</v>
      </c>
      <c r="B35" s="4" t="s">
        <v>19</v>
      </c>
      <c r="C35" s="4" t="s">
        <v>29</v>
      </c>
      <c r="D35" s="14" t="s">
        <v>30</v>
      </c>
      <c r="E35" s="6">
        <v>1000</v>
      </c>
    </row>
    <row r="36" spans="1:5" x14ac:dyDescent="0.35">
      <c r="A36" s="3">
        <v>45356</v>
      </c>
      <c r="B36" s="4" t="s">
        <v>9</v>
      </c>
      <c r="C36" s="4" t="s">
        <v>27</v>
      </c>
      <c r="D36" s="14" t="s">
        <v>30</v>
      </c>
      <c r="E36" s="6">
        <v>450</v>
      </c>
    </row>
    <row r="37" spans="1:5" x14ac:dyDescent="0.35">
      <c r="A37" s="3">
        <v>45357</v>
      </c>
      <c r="B37" s="4" t="s">
        <v>21</v>
      </c>
      <c r="C37" s="4" t="s">
        <v>27</v>
      </c>
      <c r="D37" s="14" t="s">
        <v>30</v>
      </c>
      <c r="E37" s="6">
        <v>300</v>
      </c>
    </row>
    <row r="38" spans="1:5" x14ac:dyDescent="0.35">
      <c r="A38" s="3">
        <v>45358</v>
      </c>
      <c r="B38" s="4" t="s">
        <v>17</v>
      </c>
      <c r="C38" s="4" t="s">
        <v>29</v>
      </c>
      <c r="D38" s="14" t="s">
        <v>30</v>
      </c>
      <c r="E38" s="6">
        <v>400</v>
      </c>
    </row>
    <row r="39" spans="1:5" x14ac:dyDescent="0.35">
      <c r="A39" s="3">
        <v>45359</v>
      </c>
      <c r="B39" s="4" t="s">
        <v>15</v>
      </c>
      <c r="C39" s="4" t="s">
        <v>25</v>
      </c>
      <c r="D39" s="14" t="s">
        <v>30</v>
      </c>
      <c r="E39" s="6">
        <v>500</v>
      </c>
    </row>
    <row r="40" spans="1:5" x14ac:dyDescent="0.35">
      <c r="A40" s="3">
        <v>45360</v>
      </c>
      <c r="B40" s="4" t="s">
        <v>12</v>
      </c>
      <c r="C40" s="4" t="s">
        <v>27</v>
      </c>
      <c r="D40" s="14" t="s">
        <v>30</v>
      </c>
      <c r="E40" s="6">
        <v>400</v>
      </c>
    </row>
  </sheetData>
  <dataValidations count="1">
    <dataValidation type="list" allowBlank="1" showInputMessage="1" showErrorMessage="1" sqref="D1:D1048576" xr:uid="{3DA6C17D-B8C6-4106-985E-3CAAA45755C8}">
      <formula1>"Income,Expense"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EE81-D53E-499F-B272-6C35B8FED770}">
  <dimension ref="A1:L16"/>
  <sheetViews>
    <sheetView tabSelected="1" zoomScale="76" workbookViewId="0">
      <selection activeCell="B19" sqref="B19"/>
    </sheetView>
  </sheetViews>
  <sheetFormatPr defaultRowHeight="14.5" x14ac:dyDescent="0.35"/>
  <cols>
    <col min="1" max="1" width="15.36328125" bestFit="1" customWidth="1"/>
    <col min="2" max="2" width="12" bestFit="1" customWidth="1"/>
  </cols>
  <sheetData>
    <row r="1" spans="1:12" ht="21" x14ac:dyDescent="0.5">
      <c r="A1" s="12" t="s">
        <v>45</v>
      </c>
      <c r="B1" s="12"/>
      <c r="C1" s="12"/>
      <c r="D1" s="12"/>
      <c r="E1" s="12"/>
      <c r="F1" s="12"/>
      <c r="G1" s="12"/>
      <c r="H1" s="12"/>
      <c r="I1" s="12"/>
      <c r="J1" s="15"/>
      <c r="K1" s="15"/>
      <c r="L1" s="15"/>
    </row>
    <row r="4" spans="1:12" x14ac:dyDescent="0.35">
      <c r="A4" s="10" t="s">
        <v>42</v>
      </c>
      <c r="B4" s="7">
        <f>SUMIF(Budget_Data!D:D,"Income",Budget_Data!E:E)</f>
        <v>65000</v>
      </c>
    </row>
    <row r="5" spans="1:12" x14ac:dyDescent="0.35">
      <c r="A5" s="9" t="s">
        <v>43</v>
      </c>
      <c r="B5" s="7">
        <f>SUMIF(Budget_Data!D:D,"Expense",Budget_Data!E:E)</f>
        <v>44580</v>
      </c>
    </row>
    <row r="6" spans="1:12" x14ac:dyDescent="0.35">
      <c r="A6" s="8" t="s">
        <v>44</v>
      </c>
      <c r="B6" s="7">
        <f>B4-B5</f>
        <v>20420</v>
      </c>
    </row>
    <row r="7" spans="1:12" x14ac:dyDescent="0.35">
      <c r="B7" s="7"/>
    </row>
    <row r="9" spans="1:12" x14ac:dyDescent="0.35">
      <c r="A9" s="1" t="s">
        <v>2</v>
      </c>
      <c r="B9" s="1" t="s">
        <v>30</v>
      </c>
    </row>
    <row r="10" spans="1:12" x14ac:dyDescent="0.35">
      <c r="A10" t="s">
        <v>25</v>
      </c>
      <c r="B10" s="7">
        <f>SUMIFS(Budget_Data!E:E,Budget_Data!C:C,"Food",Budget_Data!D:D,"Expense")</f>
        <v>6000</v>
      </c>
    </row>
    <row r="11" spans="1:12" x14ac:dyDescent="0.35">
      <c r="A11" t="s">
        <v>26</v>
      </c>
      <c r="B11" s="7">
        <f>SUMIFS(Budget_Data!E:E,Budget_Data!C:C,"Travel",Budget_Data!D:D,"Expense")</f>
        <v>2500</v>
      </c>
    </row>
    <row r="12" spans="1:12" x14ac:dyDescent="0.35">
      <c r="A12" t="s">
        <v>24</v>
      </c>
      <c r="B12" s="7">
        <f>SUMIFS(Budget_Data!E:E,Budget_Data!C:C,"Housing",Budget_Data!D:D,"Expense")</f>
        <v>16000</v>
      </c>
    </row>
    <row r="13" spans="1:12" x14ac:dyDescent="0.35">
      <c r="A13" t="s">
        <v>29</v>
      </c>
      <c r="B13" s="7">
        <f>SUMIFS(Budget_Data!E:E,Budget_Data!C:C,"Health",Budget_Data!D:D,"Expense")</f>
        <v>5500</v>
      </c>
    </row>
    <row r="14" spans="1:12" x14ac:dyDescent="0.35">
      <c r="A14" t="s">
        <v>27</v>
      </c>
      <c r="B14" s="7">
        <f>SUMIFS(Budget_Data!E:E,Budget_Data!C:C,"Bills",Budget_Data!D:D,"Expense")</f>
        <v>5230</v>
      </c>
    </row>
    <row r="15" spans="1:12" x14ac:dyDescent="0.35">
      <c r="A15" t="s">
        <v>11</v>
      </c>
      <c r="B15" s="7">
        <f>SUMIFS(Budget_Data!E:E,Budget_Data!C:C,"Shopping",Budget_Data!D:D,"Expense")</f>
        <v>2700</v>
      </c>
    </row>
    <row r="16" spans="1:12" x14ac:dyDescent="0.35">
      <c r="A16" t="s">
        <v>28</v>
      </c>
      <c r="B16" s="7">
        <f>SUMIFS(Budget_Data!E:E,Budget_Data!C:C,"Entertainment",Budget_Data!D:D,"Expense")</f>
        <v>6650</v>
      </c>
    </row>
  </sheetData>
  <mergeCells count="1">
    <mergeCell ref="A1:I1"/>
  </mergeCells>
  <conditionalFormatting sqref="B6">
    <cfRule type="cellIs" dxfId="1" priority="1" operator="lessThan">
      <formula>0</formula>
    </cfRule>
    <cfRule type="cellIs" dxfId="0" priority="2" operator="greaterThan">
      <formula>0</formula>
    </cfRule>
    <cfRule type="colorScale" priority="3">
      <colorScale>
        <cfvo type="min"/>
        <cfvo type="max"/>
        <color rgb="FFFF7128"/>
        <color rgb="FF00B050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Budget_Data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Vinodh Kumar N</dc:creator>
  <cp:lastModifiedBy>Vinodh Kumar N</cp:lastModifiedBy>
  <cp:lastPrinted>2026-02-11T09:40:11Z</cp:lastPrinted>
  <dcterms:created xsi:type="dcterms:W3CDTF">2026-02-11T06:17:26Z</dcterms:created>
  <dcterms:modified xsi:type="dcterms:W3CDTF">2026-02-11T09:40:15Z</dcterms:modified>
</cp:coreProperties>
</file>